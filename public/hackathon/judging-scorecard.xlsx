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eam 1" sheetId="2" state="visible" r:id="rId2"/>
    <sheet xmlns:r="http://schemas.openxmlformats.org/officeDocument/2006/relationships" name="Team 2" sheetId="3" state="visible" r:id="rId3"/>
    <sheet xmlns:r="http://schemas.openxmlformats.org/officeDocument/2006/relationships" name="Team 3" sheetId="4" state="visible" r:id="rId4"/>
    <sheet xmlns:r="http://schemas.openxmlformats.org/officeDocument/2006/relationships" name="Team 4" sheetId="5" state="visible" r:id="rId5"/>
    <sheet xmlns:r="http://schemas.openxmlformats.org/officeDocument/2006/relationships" name="Team 5" sheetId="6" state="visible" r:id="rId6"/>
    <sheet xmlns:r="http://schemas.openxmlformats.org/officeDocument/2006/relationships" name="TALLY" sheetId="7" state="visible" r:id="rId7"/>
  </sheets>
  <definedNames>
    <definedName name="_xlnm.Print_Area" localSheetId="1">'Team 1'!$A$1:$F$20</definedName>
    <definedName name="_xlnm.Print_Area" localSheetId="2">'Team 2'!$A$1:$F$20</definedName>
    <definedName name="_xlnm.Print_Area" localSheetId="3">'Team 3'!$A$1:$F$20</definedName>
    <definedName name="_xlnm.Print_Area" localSheetId="4">'Team 4'!$A$1:$F$20</definedName>
    <definedName name="_xlnm.Print_Area" localSheetId="5">'Team 5'!$A$1:$F$20</definedName>
    <definedName name="_xlnm.Print_Area" localSheetId="6">'TALLY'!$A$1:$F$18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sz val="11"/>
    </font>
    <font>
      <name val="Calibri"/>
      <sz val="11"/>
    </font>
    <font>
      <b val="1"/>
      <color rgb="001F3864"/>
      <sz val="13"/>
    </font>
    <font>
      <name val="Calibri"/>
      <b val="1"/>
      <color rgb="00FFFFFF"/>
      <sz val="11"/>
    </font>
    <font>
      <b val="1"/>
      <sz val="12"/>
    </font>
    <font>
      <b val="1"/>
      <color rgb="00FFFFFF"/>
      <sz val="11"/>
    </font>
    <font>
      <b val="1"/>
      <sz val="14"/>
    </font>
    <font>
      <name val="Calibri"/>
      <i val="1"/>
      <sz val="9"/>
    </font>
    <font>
      <b val="1"/>
      <color rgb="00FFFFFF"/>
      <sz val="12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9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 indent="1"/>
    </xf>
    <xf numFmtId="0" fontId="2" fillId="0" borderId="0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8" fillId="6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 indent="1"/>
    </xf>
    <xf numFmtId="0" fontId="0" fillId="0" borderId="4" pivotButton="0" quotePrefix="0" xfId="0"/>
    <xf numFmtId="0" fontId="2" fillId="0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0" borderId="1" pivotButton="0" quotePrefix="0" xfId="0"/>
    <xf numFmtId="164" fontId="6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70" customWidth="1" min="4" max="4"/>
  </cols>
  <sheetData>
    <row r="1" ht="34" customHeight="1">
      <c r="B1" s="1" t="inlineStr">
        <is>
          <t>COMMUNITY SOLUTION SPRINT  -  JUDGING GUIDE</t>
        </is>
      </c>
    </row>
    <row r="3" ht="46" customHeight="1">
      <c r="B3" s="2" t="inlineStr">
        <is>
          <t>How this works</t>
        </is>
      </c>
      <c r="C3" s="3" t="inlineStr">
        <is>
          <t>Each judge gets their own copy of this workbook. Score every team on the five criteria below, using the 1-5 scale. Weighted scores and totals calculate automatically. One tab per team.</t>
        </is>
      </c>
    </row>
    <row r="4" ht="46" customHeight="1">
      <c r="B4" s="2" t="inlineStr">
        <is>
          <t>What you are judging</t>
        </is>
      </c>
      <c r="C4" s="3" t="inlineStr">
        <is>
          <t>Not which idea sounds most exciting. This is a SOLUTION Sprint - the strongest proposal is the one most capable of moving into action on Monday.</t>
        </is>
      </c>
    </row>
    <row r="5" ht="46" customHeight="1">
      <c r="B5" s="2" t="inlineStr">
        <is>
          <t>Questions during pitches</t>
        </is>
      </c>
      <c r="C5" s="3" t="inlineStr">
        <is>
          <t>Clarifying questions only, under 20 seconds. Save evaluative comments for your scorecard. Five minutes per team; the timekeeper will hold a hard stop.</t>
        </is>
      </c>
    </row>
    <row r="6" ht="46" customHeight="1">
      <c r="B6" s="2" t="inlineStr">
        <is>
          <t>Deliberation</t>
        </is>
      </c>
      <c r="C6" s="3" t="inlineStr">
        <is>
          <t>4:45-4:58 PM while participants run the Monday Morning round. Bring your totals to the TALLY tab.</t>
        </is>
      </c>
    </row>
    <row r="8">
      <c r="B8" s="4" t="inlineStr">
        <is>
          <t>THE FIVE CRITERIA  -  20% EACH</t>
        </is>
      </c>
    </row>
    <row r="9" ht="22" customHeight="1">
      <c r="B9" s="5" t="inlineStr">
        <is>
          <t>Criterion</t>
        </is>
      </c>
      <c r="C9" s="5" t="inlineStr">
        <is>
          <t>Weight</t>
        </is>
      </c>
      <c r="D9" s="5" t="inlineStr">
        <is>
          <t>What a strong answer looks like</t>
        </is>
      </c>
    </row>
    <row r="10" ht="46" customHeight="1">
      <c r="B10" s="6" t="inlineStr">
        <is>
          <t>1. Responds to a genuine community need</t>
        </is>
      </c>
      <c r="C10" s="7" t="n">
        <v>0.2</v>
      </c>
      <c r="D10" s="8" t="inlineStr">
        <is>
          <t>Is this a real, felt need? Did the team show evidence they heard it from the community rather than assuming it?</t>
        </is>
      </c>
    </row>
    <row r="11" ht="46" customHeight="1">
      <c r="B11" s="6" t="inlineStr">
        <is>
          <t>2. Reflects the community values identified this morning</t>
        </is>
      </c>
      <c r="C11" s="7" t="n">
        <v>0.2</v>
      </c>
      <c r="D11" s="8" t="inlineStr">
        <is>
          <t>Does the idea reinforce the values on the wall? Did the team name which values they are protecting - and does anything in the plan contradict them?</t>
        </is>
      </c>
    </row>
    <row r="12" ht="46" customHeight="1">
      <c r="B12" s="6" t="inlineStr">
        <is>
          <t>3. Strength and logic of the pattern stack</t>
        </is>
      </c>
      <c r="C12" s="7" t="n">
        <v>0.2</v>
      </c>
      <c r="D12" s="8" t="inlineStr">
        <is>
          <t>Did the team combine 3-5 patterns that genuinely reinforce one another? Can they explain the connections, not just list patterns?</t>
        </is>
      </c>
    </row>
    <row r="13" ht="46" customHeight="1">
      <c r="B13" s="6" t="inlineStr">
        <is>
          <t>4. Feasibility / quality of the 90-day plan</t>
        </is>
      </c>
      <c r="C13" s="7" t="n">
        <v>0.2</v>
      </c>
      <c r="D13" s="8" t="inlineStr">
        <is>
          <t>Are milestones realistic? Does every line have a named person? Is there a visible win inside 30 days?</t>
        </is>
      </c>
    </row>
    <row r="14" ht="46" customHeight="1">
      <c r="B14" s="6" t="inlineStr">
        <is>
          <t>5. Potential community impact and ability to build momentum</t>
        </is>
      </c>
      <c r="C14" s="7" t="n">
        <v>0.2</v>
      </c>
      <c r="D14" s="8" t="inlineStr">
        <is>
          <t>If this works, does it grow? Does it create capacity beyond the original team?</t>
        </is>
      </c>
    </row>
    <row r="16">
      <c r="B16" s="4" t="inlineStr">
        <is>
          <t>THE 1-5 SCALE</t>
        </is>
      </c>
    </row>
    <row r="17">
      <c r="B17" s="5" t="inlineStr">
        <is>
          <t>Score</t>
        </is>
      </c>
      <c r="C17" s="5" t="inlineStr">
        <is>
          <t>Label</t>
        </is>
      </c>
      <c r="D17" s="5" t="inlineStr">
        <is>
          <t>Meaning</t>
        </is>
      </c>
    </row>
    <row r="18" ht="24" customHeight="1">
      <c r="B18" s="9" t="n">
        <v>5</v>
      </c>
      <c r="C18" s="10" t="inlineStr">
        <is>
          <t>Exceptional</t>
        </is>
      </c>
      <c r="D18" s="8" t="inlineStr">
        <is>
          <t>Clear evidence, specific, ready to move. Nothing significant missing.</t>
        </is>
      </c>
    </row>
    <row r="19" ht="24" customHeight="1">
      <c r="B19" s="9" t="n">
        <v>4</v>
      </c>
      <c r="C19" s="10" t="inlineStr">
        <is>
          <t>Strong</t>
        </is>
      </c>
      <c r="D19" s="8" t="inlineStr">
        <is>
          <t>Well developed with minor gaps.</t>
        </is>
      </c>
    </row>
    <row r="20" ht="24" customHeight="1">
      <c r="B20" s="9" t="n">
        <v>3</v>
      </c>
      <c r="C20" s="10" t="inlineStr">
        <is>
          <t>Adequate</t>
        </is>
      </c>
      <c r="D20" s="8" t="inlineStr">
        <is>
          <t>Meets the bar. Some parts still general or unproven.</t>
        </is>
      </c>
    </row>
    <row r="21" ht="24" customHeight="1">
      <c r="B21" s="9" t="n">
        <v>2</v>
      </c>
      <c r="C21" s="10" t="inlineStr">
        <is>
          <t>Developing</t>
        </is>
      </c>
      <c r="D21" s="8" t="inlineStr">
        <is>
          <t>Idea is there; the reasoning or detail is thin.</t>
        </is>
      </c>
    </row>
    <row r="22" ht="24" customHeight="1">
      <c r="B22" s="9" t="n">
        <v>1</v>
      </c>
      <c r="C22" s="10" t="inlineStr">
        <is>
          <t>Not yet</t>
        </is>
      </c>
      <c r="D22" s="8" t="inlineStr">
        <is>
          <t>Largely absent, assumed, or unsupported.</t>
        </is>
      </c>
    </row>
    <row r="24" ht="40" customHeight="1">
      <c r="B24" s="11" t="inlineStr">
        <is>
          <t>HARD REQUIREMENT:  Every team must name one person and one action happening before next Friday. A team that cannot answer this is NOT eligible for the seed award, regardless of total score.</t>
        </is>
      </c>
    </row>
  </sheetData>
  <mergeCells count="6">
    <mergeCell ref="C6:D6"/>
    <mergeCell ref="B1:D1"/>
    <mergeCell ref="C5:D5"/>
    <mergeCell ref="C3:D3"/>
    <mergeCell ref="B24:D2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0" customWidth="1" min="3" max="3"/>
    <col width="10" customWidth="1" min="4" max="4"/>
    <col width="12" customWidth="1" min="5" max="5"/>
    <col width="46" customWidth="1" min="6" max="6"/>
  </cols>
  <sheetData>
    <row r="1" ht="34" customHeight="1">
      <c r="B1" s="1" t="inlineStr">
        <is>
          <t>JUDGE SCORECARD  -  TEAM 1</t>
        </is>
      </c>
    </row>
    <row r="3" ht="22" customHeight="1">
      <c r="B3" s="12" t="inlineStr">
        <is>
          <t>Judge name:</t>
        </is>
      </c>
      <c r="C3" s="13" t="n"/>
      <c r="E3" s="12" t="inlineStr">
        <is>
          <t>Team name:</t>
        </is>
      </c>
      <c r="F3" s="13" t="n"/>
    </row>
    <row r="5" ht="32" customHeight="1">
      <c r="B5" s="14" t="inlineStr">
        <is>
          <t>Criterion  (each weighted 20%)</t>
        </is>
      </c>
      <c r="C5" s="14" t="inlineStr">
        <is>
          <t>Score
1-5</t>
        </is>
      </c>
      <c r="D5" s="14" t="inlineStr">
        <is>
          <t>Weight</t>
        </is>
      </c>
      <c r="E5" s="14" t="inlineStr">
        <is>
          <t>Weighted
/ 20</t>
        </is>
      </c>
      <c r="F5" s="14" t="inlineStr">
        <is>
          <t>Notes  -  what specifically earned this score?</t>
        </is>
      </c>
    </row>
    <row r="6" ht="58" customHeight="1">
      <c r="B6" s="8" t="inlineStr">
        <is>
          <t>1. Responds to a genuine community need
Is this a real, felt need? Did the team show evidence they heard it from the community rather than assuming it?</t>
        </is>
      </c>
      <c r="C6" s="15" t="n"/>
      <c r="D6" s="7" t="n">
        <v>0.2</v>
      </c>
      <c r="E6" s="16">
        <f>IF(C6="","",C6/5*20)</f>
        <v/>
      </c>
      <c r="F6" s="17" t="n"/>
    </row>
    <row r="7" ht="58" customHeight="1">
      <c r="B7" s="8" t="inlineStr">
        <is>
          <t>2. Reflects the community values identified this morning
Does the idea reinforce the values on the wall? Did the team name which values they are protecting - and does anything in the plan contradict them?</t>
        </is>
      </c>
      <c r="C7" s="15" t="n"/>
      <c r="D7" s="7" t="n">
        <v>0.2</v>
      </c>
      <c r="E7" s="16">
        <f>IF(C7="","",C7/5*20)</f>
        <v/>
      </c>
      <c r="F7" s="17" t="n"/>
    </row>
    <row r="8" ht="58" customHeight="1">
      <c r="B8" s="8" t="inlineStr">
        <is>
          <t>3. Strength and logic of the pattern stack
Did the team combine 3-5 patterns that genuinely reinforce one another? Can they explain the connections, not just list patterns?</t>
        </is>
      </c>
      <c r="C8" s="15" t="n"/>
      <c r="D8" s="7" t="n">
        <v>0.2</v>
      </c>
      <c r="E8" s="16">
        <f>IF(C8="","",C8/5*20)</f>
        <v/>
      </c>
      <c r="F8" s="17" t="n"/>
    </row>
    <row r="9" ht="58" customHeight="1">
      <c r="B9" s="8" t="inlineStr">
        <is>
          <t>4. Feasibility / quality of the 90-day plan
Are milestones realistic? Does every line have a named person? Is there a visible win inside 30 days?</t>
        </is>
      </c>
      <c r="C9" s="15" t="n"/>
      <c r="D9" s="7" t="n">
        <v>0.2</v>
      </c>
      <c r="E9" s="16">
        <f>IF(C9="","",C9/5*20)</f>
        <v/>
      </c>
      <c r="F9" s="17" t="n"/>
    </row>
    <row r="10" ht="58" customHeight="1">
      <c r="B10" s="8" t="inlineStr">
        <is>
          <t>5. Potential community impact and ability to build momentum
If this works, does it grow? Does it create capacity beyond the original team?</t>
        </is>
      </c>
      <c r="C10" s="15" t="n"/>
      <c r="D10" s="7" t="n">
        <v>0.2</v>
      </c>
      <c r="E10" s="16">
        <f>IF(C10="","",C10/5*20)</f>
        <v/>
      </c>
      <c r="F10" s="17" t="n"/>
    </row>
    <row r="11" ht="28" customHeight="1">
      <c r="B11" s="18" t="inlineStr">
        <is>
          <t>TOTAL SCORE</t>
        </is>
      </c>
      <c r="C11" s="19" t="n"/>
      <c r="D11" s="19" t="n"/>
      <c r="E11" s="20">
        <f>SUM(E6:E10)</f>
        <v/>
      </c>
      <c r="F11" s="21" t="inlineStr">
        <is>
          <t>out of 100</t>
        </is>
      </c>
    </row>
    <row r="13" ht="26" customHeight="1">
      <c r="B13" s="22" t="inlineStr">
        <is>
          <t>HARD REQUIREMENT  -  MONDAY MORNING COMMITMENT</t>
        </is>
      </c>
    </row>
    <row r="14" ht="32" customHeight="1">
      <c r="B14" s="8" t="inlineStr">
        <is>
          <t>Did the team name ONE PERSON and ONE ACTION that happens before next Friday? A team that cannot answer this is not eligible for the seed award, regardless of total score.</t>
        </is>
      </c>
    </row>
    <row r="15" ht="24" customHeight="1">
      <c r="B15" s="12" t="inlineStr">
        <is>
          <t>Named person:</t>
        </is>
      </c>
      <c r="C15" s="13" t="n"/>
      <c r="D15" s="23" t="n"/>
      <c r="E15" s="24" t="inlineStr">
        <is>
          <t>Met? (Y/N)</t>
        </is>
      </c>
      <c r="F15" s="25" t="n"/>
    </row>
    <row r="17">
      <c r="B17" s="12" t="inlineStr">
        <is>
          <t>One sentence to the team  -  the single thing that would most strengthen this plan:</t>
        </is>
      </c>
    </row>
    <row r="18" ht="22" customHeight="1">
      <c r="B18" s="17" t="n"/>
    </row>
    <row r="19" ht="22" customHeight="1"/>
    <row r="20" ht="22" customHeight="1"/>
  </sheetData>
  <mergeCells count="6">
    <mergeCell ref="C15:D15"/>
    <mergeCell ref="B18:F20"/>
    <mergeCell ref="B1:F1"/>
    <mergeCell ref="B14:F14"/>
    <mergeCell ref="C3:D3"/>
    <mergeCell ref="B13:F13"/>
  </mergeCell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0" customWidth="1" min="3" max="3"/>
    <col width="10" customWidth="1" min="4" max="4"/>
    <col width="12" customWidth="1" min="5" max="5"/>
    <col width="46" customWidth="1" min="6" max="6"/>
  </cols>
  <sheetData>
    <row r="1" ht="34" customHeight="1">
      <c r="B1" s="1" t="inlineStr">
        <is>
          <t>JUDGE SCORECARD  -  TEAM 2</t>
        </is>
      </c>
    </row>
    <row r="3" ht="22" customHeight="1">
      <c r="B3" s="12" t="inlineStr">
        <is>
          <t>Judge name:</t>
        </is>
      </c>
      <c r="C3" s="13" t="n"/>
      <c r="E3" s="12" t="inlineStr">
        <is>
          <t>Team name:</t>
        </is>
      </c>
      <c r="F3" s="13" t="n"/>
    </row>
    <row r="5" ht="32" customHeight="1">
      <c r="B5" s="14" t="inlineStr">
        <is>
          <t>Criterion  (each weighted 20%)</t>
        </is>
      </c>
      <c r="C5" s="14" t="inlineStr">
        <is>
          <t>Score
1-5</t>
        </is>
      </c>
      <c r="D5" s="14" t="inlineStr">
        <is>
          <t>Weight</t>
        </is>
      </c>
      <c r="E5" s="14" t="inlineStr">
        <is>
          <t>Weighted
/ 20</t>
        </is>
      </c>
      <c r="F5" s="14" t="inlineStr">
        <is>
          <t>Notes  -  what specifically earned this score?</t>
        </is>
      </c>
    </row>
    <row r="6" ht="58" customHeight="1">
      <c r="B6" s="8" t="inlineStr">
        <is>
          <t>1. Responds to a genuine community need
Is this a real, felt need? Did the team show evidence they heard it from the community rather than assuming it?</t>
        </is>
      </c>
      <c r="C6" s="15" t="n"/>
      <c r="D6" s="7" t="n">
        <v>0.2</v>
      </c>
      <c r="E6" s="16">
        <f>IF(C6="","",C6/5*20)</f>
        <v/>
      </c>
      <c r="F6" s="17" t="n"/>
    </row>
    <row r="7" ht="58" customHeight="1">
      <c r="B7" s="8" t="inlineStr">
        <is>
          <t>2. Reflects the community values identified this morning
Does the idea reinforce the values on the wall? Did the team name which values they are protecting - and does anything in the plan contradict them?</t>
        </is>
      </c>
      <c r="C7" s="15" t="n"/>
      <c r="D7" s="7" t="n">
        <v>0.2</v>
      </c>
      <c r="E7" s="16">
        <f>IF(C7="","",C7/5*20)</f>
        <v/>
      </c>
      <c r="F7" s="17" t="n"/>
    </row>
    <row r="8" ht="58" customHeight="1">
      <c r="B8" s="8" t="inlineStr">
        <is>
          <t>3. Strength and logic of the pattern stack
Did the team combine 3-5 patterns that genuinely reinforce one another? Can they explain the connections, not just list patterns?</t>
        </is>
      </c>
      <c r="C8" s="15" t="n"/>
      <c r="D8" s="7" t="n">
        <v>0.2</v>
      </c>
      <c r="E8" s="16">
        <f>IF(C8="","",C8/5*20)</f>
        <v/>
      </c>
      <c r="F8" s="17" t="n"/>
    </row>
    <row r="9" ht="58" customHeight="1">
      <c r="B9" s="8" t="inlineStr">
        <is>
          <t>4. Feasibility / quality of the 90-day plan
Are milestones realistic? Does every line have a named person? Is there a visible win inside 30 days?</t>
        </is>
      </c>
      <c r="C9" s="15" t="n"/>
      <c r="D9" s="7" t="n">
        <v>0.2</v>
      </c>
      <c r="E9" s="16">
        <f>IF(C9="","",C9/5*20)</f>
        <v/>
      </c>
      <c r="F9" s="17" t="n"/>
    </row>
    <row r="10" ht="58" customHeight="1">
      <c r="B10" s="8" t="inlineStr">
        <is>
          <t>5. Potential community impact and ability to build momentum
If this works, does it grow? Does it create capacity beyond the original team?</t>
        </is>
      </c>
      <c r="C10" s="15" t="n"/>
      <c r="D10" s="7" t="n">
        <v>0.2</v>
      </c>
      <c r="E10" s="16">
        <f>IF(C10="","",C10/5*20)</f>
        <v/>
      </c>
      <c r="F10" s="17" t="n"/>
    </row>
    <row r="11" ht="28" customHeight="1">
      <c r="B11" s="18" t="inlineStr">
        <is>
          <t>TOTAL SCORE</t>
        </is>
      </c>
      <c r="C11" s="19" t="n"/>
      <c r="D11" s="19" t="n"/>
      <c r="E11" s="20">
        <f>SUM(E6:E10)</f>
        <v/>
      </c>
      <c r="F11" s="21" t="inlineStr">
        <is>
          <t>out of 100</t>
        </is>
      </c>
    </row>
    <row r="13" ht="26" customHeight="1">
      <c r="B13" s="22" t="inlineStr">
        <is>
          <t>HARD REQUIREMENT  -  MONDAY MORNING COMMITMENT</t>
        </is>
      </c>
    </row>
    <row r="14" ht="32" customHeight="1">
      <c r="B14" s="8" t="inlineStr">
        <is>
          <t>Did the team name ONE PERSON and ONE ACTION that happens before next Friday? A team that cannot answer this is not eligible for the seed award, regardless of total score.</t>
        </is>
      </c>
    </row>
    <row r="15" ht="24" customHeight="1">
      <c r="B15" s="12" t="inlineStr">
        <is>
          <t>Named person:</t>
        </is>
      </c>
      <c r="C15" s="13" t="n"/>
      <c r="D15" s="23" t="n"/>
      <c r="E15" s="24" t="inlineStr">
        <is>
          <t>Met? (Y/N)</t>
        </is>
      </c>
      <c r="F15" s="25" t="n"/>
    </row>
    <row r="17">
      <c r="B17" s="12" t="inlineStr">
        <is>
          <t>One sentence to the team  -  the single thing that would most strengthen this plan:</t>
        </is>
      </c>
    </row>
    <row r="18" ht="22" customHeight="1">
      <c r="B18" s="17" t="n"/>
    </row>
    <row r="19" ht="22" customHeight="1"/>
    <row r="20" ht="22" customHeight="1"/>
  </sheetData>
  <mergeCells count="6">
    <mergeCell ref="C15:D15"/>
    <mergeCell ref="B18:F20"/>
    <mergeCell ref="B1:F1"/>
    <mergeCell ref="B14:F14"/>
    <mergeCell ref="C3:D3"/>
    <mergeCell ref="B13:F13"/>
  </mergeCells>
  <pageMargins left="0.75" right="0.75" top="1" bottom="1" header="0.5" footer="0.5"/>
  <pageSetup orientation="portrait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0" customWidth="1" min="3" max="3"/>
    <col width="10" customWidth="1" min="4" max="4"/>
    <col width="12" customWidth="1" min="5" max="5"/>
    <col width="46" customWidth="1" min="6" max="6"/>
  </cols>
  <sheetData>
    <row r="1" ht="34" customHeight="1">
      <c r="B1" s="1" t="inlineStr">
        <is>
          <t>JUDGE SCORECARD  -  TEAM 3</t>
        </is>
      </c>
    </row>
    <row r="3" ht="22" customHeight="1">
      <c r="B3" s="12" t="inlineStr">
        <is>
          <t>Judge name:</t>
        </is>
      </c>
      <c r="C3" s="13" t="n"/>
      <c r="E3" s="12" t="inlineStr">
        <is>
          <t>Team name:</t>
        </is>
      </c>
      <c r="F3" s="13" t="n"/>
    </row>
    <row r="5" ht="32" customHeight="1">
      <c r="B5" s="14" t="inlineStr">
        <is>
          <t>Criterion  (each weighted 20%)</t>
        </is>
      </c>
      <c r="C5" s="14" t="inlineStr">
        <is>
          <t>Score
1-5</t>
        </is>
      </c>
      <c r="D5" s="14" t="inlineStr">
        <is>
          <t>Weight</t>
        </is>
      </c>
      <c r="E5" s="14" t="inlineStr">
        <is>
          <t>Weighted
/ 20</t>
        </is>
      </c>
      <c r="F5" s="14" t="inlineStr">
        <is>
          <t>Notes  -  what specifically earned this score?</t>
        </is>
      </c>
    </row>
    <row r="6" ht="58" customHeight="1">
      <c r="B6" s="8" t="inlineStr">
        <is>
          <t>1. Responds to a genuine community need
Is this a real, felt need? Did the team show evidence they heard it from the community rather than assuming it?</t>
        </is>
      </c>
      <c r="C6" s="15" t="n"/>
      <c r="D6" s="7" t="n">
        <v>0.2</v>
      </c>
      <c r="E6" s="16">
        <f>IF(C6="","",C6/5*20)</f>
        <v/>
      </c>
      <c r="F6" s="17" t="n"/>
    </row>
    <row r="7" ht="58" customHeight="1">
      <c r="B7" s="8" t="inlineStr">
        <is>
          <t>2. Reflects the community values identified this morning
Does the idea reinforce the values on the wall? Did the team name which values they are protecting - and does anything in the plan contradict them?</t>
        </is>
      </c>
      <c r="C7" s="15" t="n"/>
      <c r="D7" s="7" t="n">
        <v>0.2</v>
      </c>
      <c r="E7" s="16">
        <f>IF(C7="","",C7/5*20)</f>
        <v/>
      </c>
      <c r="F7" s="17" t="n"/>
    </row>
    <row r="8" ht="58" customHeight="1">
      <c r="B8" s="8" t="inlineStr">
        <is>
          <t>3. Strength and logic of the pattern stack
Did the team combine 3-5 patterns that genuinely reinforce one another? Can they explain the connections, not just list patterns?</t>
        </is>
      </c>
      <c r="C8" s="15" t="n"/>
      <c r="D8" s="7" t="n">
        <v>0.2</v>
      </c>
      <c r="E8" s="16">
        <f>IF(C8="","",C8/5*20)</f>
        <v/>
      </c>
      <c r="F8" s="17" t="n"/>
    </row>
    <row r="9" ht="58" customHeight="1">
      <c r="B9" s="8" t="inlineStr">
        <is>
          <t>4. Feasibility / quality of the 90-day plan
Are milestones realistic? Does every line have a named person? Is there a visible win inside 30 days?</t>
        </is>
      </c>
      <c r="C9" s="15" t="n"/>
      <c r="D9" s="7" t="n">
        <v>0.2</v>
      </c>
      <c r="E9" s="16">
        <f>IF(C9="","",C9/5*20)</f>
        <v/>
      </c>
      <c r="F9" s="17" t="n"/>
    </row>
    <row r="10" ht="58" customHeight="1">
      <c r="B10" s="8" t="inlineStr">
        <is>
          <t>5. Potential community impact and ability to build momentum
If this works, does it grow? Does it create capacity beyond the original team?</t>
        </is>
      </c>
      <c r="C10" s="15" t="n"/>
      <c r="D10" s="7" t="n">
        <v>0.2</v>
      </c>
      <c r="E10" s="16">
        <f>IF(C10="","",C10/5*20)</f>
        <v/>
      </c>
      <c r="F10" s="17" t="n"/>
    </row>
    <row r="11" ht="28" customHeight="1">
      <c r="B11" s="18" t="inlineStr">
        <is>
          <t>TOTAL SCORE</t>
        </is>
      </c>
      <c r="C11" s="19" t="n"/>
      <c r="D11" s="19" t="n"/>
      <c r="E11" s="20">
        <f>SUM(E6:E10)</f>
        <v/>
      </c>
      <c r="F11" s="21" t="inlineStr">
        <is>
          <t>out of 100</t>
        </is>
      </c>
    </row>
    <row r="13" ht="26" customHeight="1">
      <c r="B13" s="22" t="inlineStr">
        <is>
          <t>HARD REQUIREMENT  -  MONDAY MORNING COMMITMENT</t>
        </is>
      </c>
    </row>
    <row r="14" ht="32" customHeight="1">
      <c r="B14" s="8" t="inlineStr">
        <is>
          <t>Did the team name ONE PERSON and ONE ACTION that happens before next Friday? A team that cannot answer this is not eligible for the seed award, regardless of total score.</t>
        </is>
      </c>
    </row>
    <row r="15" ht="24" customHeight="1">
      <c r="B15" s="12" t="inlineStr">
        <is>
          <t>Named person:</t>
        </is>
      </c>
      <c r="C15" s="13" t="n"/>
      <c r="D15" s="23" t="n"/>
      <c r="E15" s="24" t="inlineStr">
        <is>
          <t>Met? (Y/N)</t>
        </is>
      </c>
      <c r="F15" s="25" t="n"/>
    </row>
    <row r="17">
      <c r="B17" s="12" t="inlineStr">
        <is>
          <t>One sentence to the team  -  the single thing that would most strengthen this plan:</t>
        </is>
      </c>
    </row>
    <row r="18" ht="22" customHeight="1">
      <c r="B18" s="17" t="n"/>
    </row>
    <row r="19" ht="22" customHeight="1"/>
    <row r="20" ht="22" customHeight="1"/>
  </sheetData>
  <mergeCells count="6">
    <mergeCell ref="C15:D15"/>
    <mergeCell ref="B18:F20"/>
    <mergeCell ref="B1:F1"/>
    <mergeCell ref="B14:F14"/>
    <mergeCell ref="C3:D3"/>
    <mergeCell ref="B13:F13"/>
  </mergeCells>
  <pageMargins left="0.75" right="0.75" top="1" bottom="1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0" customWidth="1" min="3" max="3"/>
    <col width="10" customWidth="1" min="4" max="4"/>
    <col width="12" customWidth="1" min="5" max="5"/>
    <col width="46" customWidth="1" min="6" max="6"/>
  </cols>
  <sheetData>
    <row r="1" ht="34" customHeight="1">
      <c r="B1" s="1" t="inlineStr">
        <is>
          <t>JUDGE SCORECARD  -  TEAM 4</t>
        </is>
      </c>
    </row>
    <row r="3" ht="22" customHeight="1">
      <c r="B3" s="12" t="inlineStr">
        <is>
          <t>Judge name:</t>
        </is>
      </c>
      <c r="C3" s="13" t="n"/>
      <c r="E3" s="12" t="inlineStr">
        <is>
          <t>Team name:</t>
        </is>
      </c>
      <c r="F3" s="13" t="n"/>
    </row>
    <row r="5" ht="32" customHeight="1">
      <c r="B5" s="14" t="inlineStr">
        <is>
          <t>Criterion  (each weighted 20%)</t>
        </is>
      </c>
      <c r="C5" s="14" t="inlineStr">
        <is>
          <t>Score
1-5</t>
        </is>
      </c>
      <c r="D5" s="14" t="inlineStr">
        <is>
          <t>Weight</t>
        </is>
      </c>
      <c r="E5" s="14" t="inlineStr">
        <is>
          <t>Weighted
/ 20</t>
        </is>
      </c>
      <c r="F5" s="14" t="inlineStr">
        <is>
          <t>Notes  -  what specifically earned this score?</t>
        </is>
      </c>
    </row>
    <row r="6" ht="58" customHeight="1">
      <c r="B6" s="8" t="inlineStr">
        <is>
          <t>1. Responds to a genuine community need
Is this a real, felt need? Did the team show evidence they heard it from the community rather than assuming it?</t>
        </is>
      </c>
      <c r="C6" s="15" t="n"/>
      <c r="D6" s="7" t="n">
        <v>0.2</v>
      </c>
      <c r="E6" s="16">
        <f>IF(C6="","",C6/5*20)</f>
        <v/>
      </c>
      <c r="F6" s="17" t="n"/>
    </row>
    <row r="7" ht="58" customHeight="1">
      <c r="B7" s="8" t="inlineStr">
        <is>
          <t>2. Reflects the community values identified this morning
Does the idea reinforce the values on the wall? Did the team name which values they are protecting - and does anything in the plan contradict them?</t>
        </is>
      </c>
      <c r="C7" s="15" t="n"/>
      <c r="D7" s="7" t="n">
        <v>0.2</v>
      </c>
      <c r="E7" s="16">
        <f>IF(C7="","",C7/5*20)</f>
        <v/>
      </c>
      <c r="F7" s="17" t="n"/>
    </row>
    <row r="8" ht="58" customHeight="1">
      <c r="B8" s="8" t="inlineStr">
        <is>
          <t>3. Strength and logic of the pattern stack
Did the team combine 3-5 patterns that genuinely reinforce one another? Can they explain the connections, not just list patterns?</t>
        </is>
      </c>
      <c r="C8" s="15" t="n"/>
      <c r="D8" s="7" t="n">
        <v>0.2</v>
      </c>
      <c r="E8" s="16">
        <f>IF(C8="","",C8/5*20)</f>
        <v/>
      </c>
      <c r="F8" s="17" t="n"/>
    </row>
    <row r="9" ht="58" customHeight="1">
      <c r="B9" s="8" t="inlineStr">
        <is>
          <t>4. Feasibility / quality of the 90-day plan
Are milestones realistic? Does every line have a named person? Is there a visible win inside 30 days?</t>
        </is>
      </c>
      <c r="C9" s="15" t="n"/>
      <c r="D9" s="7" t="n">
        <v>0.2</v>
      </c>
      <c r="E9" s="16">
        <f>IF(C9="","",C9/5*20)</f>
        <v/>
      </c>
      <c r="F9" s="17" t="n"/>
    </row>
    <row r="10" ht="58" customHeight="1">
      <c r="B10" s="8" t="inlineStr">
        <is>
          <t>5. Potential community impact and ability to build momentum
If this works, does it grow? Does it create capacity beyond the original team?</t>
        </is>
      </c>
      <c r="C10" s="15" t="n"/>
      <c r="D10" s="7" t="n">
        <v>0.2</v>
      </c>
      <c r="E10" s="16">
        <f>IF(C10="","",C10/5*20)</f>
        <v/>
      </c>
      <c r="F10" s="17" t="n"/>
    </row>
    <row r="11" ht="28" customHeight="1">
      <c r="B11" s="18" t="inlineStr">
        <is>
          <t>TOTAL SCORE</t>
        </is>
      </c>
      <c r="C11" s="19" t="n"/>
      <c r="D11" s="19" t="n"/>
      <c r="E11" s="20">
        <f>SUM(E6:E10)</f>
        <v/>
      </c>
      <c r="F11" s="21" t="inlineStr">
        <is>
          <t>out of 100</t>
        </is>
      </c>
    </row>
    <row r="13" ht="26" customHeight="1">
      <c r="B13" s="22" t="inlineStr">
        <is>
          <t>HARD REQUIREMENT  -  MONDAY MORNING COMMITMENT</t>
        </is>
      </c>
    </row>
    <row r="14" ht="32" customHeight="1">
      <c r="B14" s="8" t="inlineStr">
        <is>
          <t>Did the team name ONE PERSON and ONE ACTION that happens before next Friday? A team that cannot answer this is not eligible for the seed award, regardless of total score.</t>
        </is>
      </c>
    </row>
    <row r="15" ht="24" customHeight="1">
      <c r="B15" s="12" t="inlineStr">
        <is>
          <t>Named person:</t>
        </is>
      </c>
      <c r="C15" s="13" t="n"/>
      <c r="D15" s="23" t="n"/>
      <c r="E15" s="24" t="inlineStr">
        <is>
          <t>Met? (Y/N)</t>
        </is>
      </c>
      <c r="F15" s="25" t="n"/>
    </row>
    <row r="17">
      <c r="B17" s="12" t="inlineStr">
        <is>
          <t>One sentence to the team  -  the single thing that would most strengthen this plan:</t>
        </is>
      </c>
    </row>
    <row r="18" ht="22" customHeight="1">
      <c r="B18" s="17" t="n"/>
    </row>
    <row r="19" ht="22" customHeight="1"/>
    <row r="20" ht="22" customHeight="1"/>
  </sheetData>
  <mergeCells count="6">
    <mergeCell ref="C15:D15"/>
    <mergeCell ref="B18:F20"/>
    <mergeCell ref="B1:F1"/>
    <mergeCell ref="B14:F14"/>
    <mergeCell ref="C3:D3"/>
    <mergeCell ref="B13:F13"/>
  </mergeCells>
  <pageMargins left="0.75" right="0.75" top="1" bottom="1" header="0.5" footer="0.5"/>
  <pageSetup orientation="portrait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0" customWidth="1" min="3" max="3"/>
    <col width="10" customWidth="1" min="4" max="4"/>
    <col width="12" customWidth="1" min="5" max="5"/>
    <col width="46" customWidth="1" min="6" max="6"/>
  </cols>
  <sheetData>
    <row r="1" ht="34" customHeight="1">
      <c r="B1" s="1" t="inlineStr">
        <is>
          <t>JUDGE SCORECARD  -  TEAM 5</t>
        </is>
      </c>
    </row>
    <row r="3" ht="22" customHeight="1">
      <c r="B3" s="12" t="inlineStr">
        <is>
          <t>Judge name:</t>
        </is>
      </c>
      <c r="C3" s="13" t="n"/>
      <c r="E3" s="12" t="inlineStr">
        <is>
          <t>Team name:</t>
        </is>
      </c>
      <c r="F3" s="13" t="n"/>
    </row>
    <row r="5" ht="32" customHeight="1">
      <c r="B5" s="14" t="inlineStr">
        <is>
          <t>Criterion  (each weighted 20%)</t>
        </is>
      </c>
      <c r="C5" s="14" t="inlineStr">
        <is>
          <t>Score
1-5</t>
        </is>
      </c>
      <c r="D5" s="14" t="inlineStr">
        <is>
          <t>Weight</t>
        </is>
      </c>
      <c r="E5" s="14" t="inlineStr">
        <is>
          <t>Weighted
/ 20</t>
        </is>
      </c>
      <c r="F5" s="14" t="inlineStr">
        <is>
          <t>Notes  -  what specifically earned this score?</t>
        </is>
      </c>
    </row>
    <row r="6" ht="58" customHeight="1">
      <c r="B6" s="8" t="inlineStr">
        <is>
          <t>1. Responds to a genuine community need
Is this a real, felt need? Did the team show evidence they heard it from the community rather than assuming it?</t>
        </is>
      </c>
      <c r="C6" s="15" t="n"/>
      <c r="D6" s="7" t="n">
        <v>0.2</v>
      </c>
      <c r="E6" s="16">
        <f>IF(C6="","",C6/5*20)</f>
        <v/>
      </c>
      <c r="F6" s="17" t="n"/>
    </row>
    <row r="7" ht="58" customHeight="1">
      <c r="B7" s="8" t="inlineStr">
        <is>
          <t>2. Reflects the community values identified this morning
Does the idea reinforce the values on the wall? Did the team name which values they are protecting - and does anything in the plan contradict them?</t>
        </is>
      </c>
      <c r="C7" s="15" t="n"/>
      <c r="D7" s="7" t="n">
        <v>0.2</v>
      </c>
      <c r="E7" s="16">
        <f>IF(C7="","",C7/5*20)</f>
        <v/>
      </c>
      <c r="F7" s="17" t="n"/>
    </row>
    <row r="8" ht="58" customHeight="1">
      <c r="B8" s="8" t="inlineStr">
        <is>
          <t>3. Strength and logic of the pattern stack
Did the team combine 3-5 patterns that genuinely reinforce one another? Can they explain the connections, not just list patterns?</t>
        </is>
      </c>
      <c r="C8" s="15" t="n"/>
      <c r="D8" s="7" t="n">
        <v>0.2</v>
      </c>
      <c r="E8" s="16">
        <f>IF(C8="","",C8/5*20)</f>
        <v/>
      </c>
      <c r="F8" s="17" t="n"/>
    </row>
    <row r="9" ht="58" customHeight="1">
      <c r="B9" s="8" t="inlineStr">
        <is>
          <t>4. Feasibility / quality of the 90-day plan
Are milestones realistic? Does every line have a named person? Is there a visible win inside 30 days?</t>
        </is>
      </c>
      <c r="C9" s="15" t="n"/>
      <c r="D9" s="7" t="n">
        <v>0.2</v>
      </c>
      <c r="E9" s="16">
        <f>IF(C9="","",C9/5*20)</f>
        <v/>
      </c>
      <c r="F9" s="17" t="n"/>
    </row>
    <row r="10" ht="58" customHeight="1">
      <c r="B10" s="8" t="inlineStr">
        <is>
          <t>5. Potential community impact and ability to build momentum
If this works, does it grow? Does it create capacity beyond the original team?</t>
        </is>
      </c>
      <c r="C10" s="15" t="n"/>
      <c r="D10" s="7" t="n">
        <v>0.2</v>
      </c>
      <c r="E10" s="16">
        <f>IF(C10="","",C10/5*20)</f>
        <v/>
      </c>
      <c r="F10" s="17" t="n"/>
    </row>
    <row r="11" ht="28" customHeight="1">
      <c r="B11" s="18" t="inlineStr">
        <is>
          <t>TOTAL SCORE</t>
        </is>
      </c>
      <c r="C11" s="19" t="n"/>
      <c r="D11" s="19" t="n"/>
      <c r="E11" s="20">
        <f>SUM(E6:E10)</f>
        <v/>
      </c>
      <c r="F11" s="21" t="inlineStr">
        <is>
          <t>out of 100</t>
        </is>
      </c>
    </row>
    <row r="13" ht="26" customHeight="1">
      <c r="B13" s="22" t="inlineStr">
        <is>
          <t>HARD REQUIREMENT  -  MONDAY MORNING COMMITMENT</t>
        </is>
      </c>
    </row>
    <row r="14" ht="32" customHeight="1">
      <c r="B14" s="8" t="inlineStr">
        <is>
          <t>Did the team name ONE PERSON and ONE ACTION that happens before next Friday? A team that cannot answer this is not eligible for the seed award, regardless of total score.</t>
        </is>
      </c>
    </row>
    <row r="15" ht="24" customHeight="1">
      <c r="B15" s="12" t="inlineStr">
        <is>
          <t>Named person:</t>
        </is>
      </c>
      <c r="C15" s="13" t="n"/>
      <c r="D15" s="23" t="n"/>
      <c r="E15" s="24" t="inlineStr">
        <is>
          <t>Met? (Y/N)</t>
        </is>
      </c>
      <c r="F15" s="25" t="n"/>
    </row>
    <row r="17">
      <c r="B17" s="12" t="inlineStr">
        <is>
          <t>One sentence to the team  -  the single thing that would most strengthen this plan:</t>
        </is>
      </c>
    </row>
    <row r="18" ht="22" customHeight="1">
      <c r="B18" s="17" t="n"/>
    </row>
    <row r="19" ht="22" customHeight="1"/>
    <row r="20" ht="22" customHeight="1"/>
  </sheetData>
  <mergeCells count="6">
    <mergeCell ref="C15:D15"/>
    <mergeCell ref="B18:F20"/>
    <mergeCell ref="B1:F1"/>
    <mergeCell ref="B14:F14"/>
    <mergeCell ref="C3:D3"/>
    <mergeCell ref="B13:F13"/>
  </mergeCells>
  <pageMargins left="0.75" right="0.75" top="1" bottom="1" header="0.5" footer="0.5"/>
  <pageSetup orientation="portrait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16" customWidth="1" min="4" max="4"/>
    <col width="16" customWidth="1" min="5" max="5"/>
    <col width="46" customWidth="1" min="6" max="6"/>
  </cols>
  <sheetData>
    <row r="1" ht="34" customHeight="1">
      <c r="B1" s="1" t="inlineStr">
        <is>
          <t>TALLY  -  THIS JUDGE</t>
        </is>
      </c>
    </row>
    <row r="3" ht="30" customHeight="1">
      <c r="B3" s="14" t="inlineStr">
        <is>
          <t>Team</t>
        </is>
      </c>
      <c r="C3" s="14" t="inlineStr">
        <is>
          <t>Total / 100</t>
        </is>
      </c>
      <c r="D3" s="14" t="inlineStr">
        <is>
          <t>Monday Morning met?</t>
        </is>
      </c>
      <c r="E3" s="14" t="inlineStr">
        <is>
          <t>Eligible?</t>
        </is>
      </c>
      <c r="F3" s="14" t="inlineStr">
        <is>
          <t>Lead comment</t>
        </is>
      </c>
    </row>
    <row r="4" ht="28" customHeight="1">
      <c r="B4" s="26" t="inlineStr">
        <is>
          <t>Team 1</t>
        </is>
      </c>
      <c r="C4" s="27">
        <f>'Team 1'!E11</f>
        <v/>
      </c>
      <c r="D4" s="28">
        <f>'Team 1'!F15</f>
        <v/>
      </c>
      <c r="E4" s="29">
        <f>IF(UPPER(TRIM(D4))="Y","ELIGIBLE",IF(D4="","-","NOT ELIGIBLE"))</f>
        <v/>
      </c>
      <c r="F4" s="17" t="n"/>
    </row>
    <row r="5" ht="28" customHeight="1">
      <c r="B5" s="26" t="inlineStr">
        <is>
          <t>Team 2</t>
        </is>
      </c>
      <c r="C5" s="27">
        <f>'Team 2'!E11</f>
        <v/>
      </c>
      <c r="D5" s="28">
        <f>'Team 2'!F15</f>
        <v/>
      </c>
      <c r="E5" s="29">
        <f>IF(UPPER(TRIM(D5))="Y","ELIGIBLE",IF(D5="","-","NOT ELIGIBLE"))</f>
        <v/>
      </c>
      <c r="F5" s="17" t="n"/>
    </row>
    <row r="6" ht="28" customHeight="1">
      <c r="B6" s="26" t="inlineStr">
        <is>
          <t>Team 3</t>
        </is>
      </c>
      <c r="C6" s="27">
        <f>'Team 3'!E11</f>
        <v/>
      </c>
      <c r="D6" s="28">
        <f>'Team 3'!F15</f>
        <v/>
      </c>
      <c r="E6" s="29">
        <f>IF(UPPER(TRIM(D6))="Y","ELIGIBLE",IF(D6="","-","NOT ELIGIBLE"))</f>
        <v/>
      </c>
      <c r="F6" s="17" t="n"/>
    </row>
    <row r="7" ht="28" customHeight="1">
      <c r="B7" s="26" t="inlineStr">
        <is>
          <t>Team 4</t>
        </is>
      </c>
      <c r="C7" s="27">
        <f>'Team 4'!E11</f>
        <v/>
      </c>
      <c r="D7" s="28">
        <f>'Team 4'!F15</f>
        <v/>
      </c>
      <c r="E7" s="29">
        <f>IF(UPPER(TRIM(D7))="Y","ELIGIBLE",IF(D7="","-","NOT ELIGIBLE"))</f>
        <v/>
      </c>
      <c r="F7" s="17" t="n"/>
    </row>
    <row r="8" ht="28" customHeight="1">
      <c r="B8" s="26" t="inlineStr">
        <is>
          <t>Team 5</t>
        </is>
      </c>
      <c r="C8" s="27">
        <f>'Team 5'!E11</f>
        <v/>
      </c>
      <c r="D8" s="28">
        <f>'Team 5'!F15</f>
        <v/>
      </c>
      <c r="E8" s="29">
        <f>IF(UPPER(TRIM(D8))="Y","ELIGIBLE",IF(D8="","-","NOT ELIGIBLE"))</f>
        <v/>
      </c>
      <c r="F8" s="17" t="n"/>
    </row>
    <row r="10">
      <c r="B10" s="12" t="inlineStr">
        <is>
          <t>Highest eligible score:</t>
        </is>
      </c>
      <c r="C10" s="30">
        <f>IFERROR(MAX(IF(UPPER(TRIM(D4:D8))="Y",C4:C8)),"-")</f>
        <v/>
      </c>
      <c r="D10" s="31" t="inlineStr">
        <is>
          <t>(array formula - press Ctrl+Shift+Enter in older Excel)</t>
        </is>
      </c>
    </row>
    <row r="12">
      <c r="B12" s="32" t="inlineStr">
        <is>
          <t>Panel notes  -  deliberation 4:45-4:58 PM</t>
        </is>
      </c>
    </row>
    <row r="13" ht="22" customHeight="1">
      <c r="B13" s="17" t="n"/>
    </row>
    <row r="14" ht="22" customHeight="1"/>
    <row r="15" ht="22" customHeight="1"/>
    <row r="16" ht="22" customHeight="1"/>
    <row r="17" ht="22" customHeight="1"/>
  </sheetData>
  <mergeCells count="3">
    <mergeCell ref="B13:F17"/>
    <mergeCell ref="B1:F1"/>
    <mergeCell ref="D10:F1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2026-10-20T05:24:14Z</dcterms:created>
  <dcterms:modified xmlns:dcterms="http://purl.org/dc/terms/" xmlns:xsi="http://www.w3.org/2001/XMLSchema-instance" xsi:type="dcterms:W3CDTF">2026-10-20T05:24:14Z</dcterms:modified>
</cp:coreProperties>
</file>